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6F490A4-8B62-4223-A912-98EBAA0FDA6C}" xr6:coauthVersionLast="47" xr6:coauthVersionMax="47" xr10:uidLastSave="{00000000-0000-0000-0000-000000000000}"/>
  <bookViews>
    <workbookView xWindow="-108" yWindow="-108" windowWidth="23256" windowHeight="13176" xr2:uid="{9B9DCBE5-C4EF-4529-AE81-5F97E564A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21" i="1" s="1"/>
  <c r="I6" i="1"/>
  <c r="I22" i="1" l="1"/>
  <c r="I23" i="1" s="1"/>
</calcChain>
</file>

<file path=xl/sharedStrings.xml><?xml version="1.0" encoding="utf-8"?>
<sst xmlns="http://schemas.openxmlformats.org/spreadsheetml/2006/main" count="36" uniqueCount="27">
  <si>
    <t>Surabaya, 31 Desember 2025</t>
  </si>
  <si>
    <t>Kepada Yth :</t>
  </si>
  <si>
    <t>CV Tritunggal Makmur Abadi</t>
  </si>
  <si>
    <t>NO : 493 / CV.ANT / XII / 25</t>
  </si>
  <si>
    <t>SURABAYA</t>
  </si>
  <si>
    <t>NO</t>
  </si>
  <si>
    <t>TGL</t>
  </si>
  <si>
    <t>NOPOL</t>
  </si>
  <si>
    <t>MUATAN</t>
  </si>
  <si>
    <t>MUAT</t>
  </si>
  <si>
    <t>BONGKAR</t>
  </si>
  <si>
    <t>TONASE</t>
  </si>
  <si>
    <t>HARGA</t>
  </si>
  <si>
    <t>TOTAL</t>
  </si>
  <si>
    <t>L 8607 UJ</t>
  </si>
  <si>
    <t>Batubara</t>
  </si>
  <si>
    <t>BMC</t>
  </si>
  <si>
    <t>CJ Jombang</t>
  </si>
  <si>
    <t>B 9064 TIU</t>
  </si>
  <si>
    <t>L 9548 UI</t>
  </si>
  <si>
    <t>B 9613 TIT</t>
  </si>
  <si>
    <t>Hormat Kami</t>
  </si>
  <si>
    <t>TOTAL  Rp.</t>
  </si>
  <si>
    <t>PPH 2% Rp.</t>
  </si>
  <si>
    <t>TOTAL BAYAR  Rp.</t>
  </si>
  <si>
    <t>Rekening BCA a/c 6155345601  a/n CV AS NUSA TRANS</t>
  </si>
  <si>
    <t>A N T O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</si>
</sst>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_);_(* \(#,##0.0\);_(* &quot;-&quot;?_);_(@_)"/>
    <numFmt numFmtId="166" formatCode="[$-409]d\-mmm\-yy;@"/>
    <numFmt numFmtId="167" formatCode="_(&quot;Rp&quot;* #,##0.0_);_(&quot;Rp&quot;* \(#,##0.0\);_(&quot;Rp&quot;* &quot;-&quot;?_);_(@_)"/>
    <numFmt numFmtId="168" formatCode="_(* #,##0_);_(* \(#,##0\);_(* &quot;-&quot;??_);_(@_)"/>
    <numFmt numFmtId="169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28"/>
      <color theme="1"/>
      <name val="Berlin Sans FB Demi"/>
      <family val="2"/>
    </font>
    <font>
      <sz val="11"/>
      <color theme="1"/>
      <name val="Arial"/>
      <family val="2"/>
    </font>
    <font>
      <b/>
      <sz val="11"/>
      <color rgb="FF0070C0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b/>
      <i/>
      <u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1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164" fontId="2" fillId="0" borderId="0" xfId="1" applyNumberFormat="1" applyFont="1"/>
    <xf numFmtId="15" fontId="2" fillId="0" borderId="0" xfId="1" applyNumberFormat="1" applyFont="1"/>
    <xf numFmtId="164" fontId="3" fillId="0" borderId="0" xfId="1" applyNumberFormat="1" applyFont="1" applyAlignment="1">
      <alignment vertical="center"/>
    </xf>
    <xf numFmtId="165" fontId="4" fillId="0" borderId="0" xfId="1" applyNumberFormat="1" applyFont="1" applyAlignment="1">
      <alignment vertical="center"/>
    </xf>
    <xf numFmtId="3" fontId="4" fillId="0" borderId="0" xfId="1" applyNumberFormat="1" applyFont="1" applyAlignment="1">
      <alignment horizontal="right"/>
    </xf>
    <xf numFmtId="0" fontId="5" fillId="0" borderId="1" xfId="1" applyFont="1" applyBorder="1" applyAlignment="1">
      <alignment vertical="center"/>
    </xf>
    <xf numFmtId="164" fontId="5" fillId="0" borderId="0" xfId="1" applyNumberFormat="1" applyFont="1"/>
    <xf numFmtId="165" fontId="4" fillId="0" borderId="0" xfId="1" applyNumberFormat="1" applyFont="1" applyAlignment="1">
      <alignment horizontal="right"/>
    </xf>
    <xf numFmtId="3" fontId="6" fillId="0" borderId="2" xfId="1" applyNumberFormat="1" applyFont="1" applyBorder="1" applyAlignment="1">
      <alignment horizontal="center"/>
    </xf>
    <xf numFmtId="0" fontId="7" fillId="0" borderId="0" xfId="1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0" fontId="2" fillId="0" borderId="1" xfId="1" applyFont="1" applyBorder="1" applyAlignment="1">
      <alignment vertical="center"/>
    </xf>
    <xf numFmtId="15" fontId="2" fillId="0" borderId="1" xfId="1" applyNumberFormat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5" fontId="6" fillId="0" borderId="1" xfId="1" applyNumberFormat="1" applyFont="1" applyBorder="1" applyAlignment="1">
      <alignment vertical="center"/>
    </xf>
    <xf numFmtId="3" fontId="6" fillId="0" borderId="1" xfId="1" applyNumberFormat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15" fontId="2" fillId="0" borderId="3" xfId="1" applyNumberFormat="1" applyFont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3" fontId="2" fillId="0" borderId="3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3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4" fontId="4" fillId="0" borderId="5" xfId="1" applyNumberFormat="1" applyFont="1" applyBorder="1" applyAlignment="1">
      <alignment vertical="center"/>
    </xf>
    <xf numFmtId="167" fontId="6" fillId="0" borderId="6" xfId="1" applyNumberFormat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165" fontId="2" fillId="0" borderId="7" xfId="1" applyNumberFormat="1" applyFont="1" applyBorder="1" applyAlignment="1">
      <alignment horizontal="right" vertical="center"/>
    </xf>
    <xf numFmtId="164" fontId="2" fillId="0" borderId="5" xfId="1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165" fontId="2" fillId="0" borderId="8" xfId="1" applyNumberFormat="1" applyFont="1" applyBorder="1" applyAlignment="1">
      <alignment horizontal="right" vertical="center"/>
    </xf>
    <xf numFmtId="168" fontId="2" fillId="0" borderId="5" xfId="1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vertical="center"/>
    </xf>
    <xf numFmtId="167" fontId="4" fillId="0" borderId="0" xfId="1" applyNumberFormat="1" applyFont="1" applyAlignment="1">
      <alignment horizontal="center" vertical="center"/>
    </xf>
    <xf numFmtId="169" fontId="9" fillId="0" borderId="0" xfId="1" applyNumberFormat="1" applyFont="1" applyAlignment="1">
      <alignment vertical="center"/>
    </xf>
    <xf numFmtId="169" fontId="10" fillId="0" borderId="9" xfId="1" applyNumberFormat="1" applyFont="1" applyBorder="1" applyAlignment="1">
      <alignment horizontal="center" vertical="center"/>
    </xf>
    <xf numFmtId="169" fontId="10" fillId="0" borderId="10" xfId="1" applyNumberFormat="1" applyFont="1" applyBorder="1" applyAlignment="1">
      <alignment horizontal="center" vertical="center"/>
    </xf>
    <xf numFmtId="169" fontId="10" fillId="0" borderId="11" xfId="1" applyNumberFormat="1" applyFont="1" applyBorder="1" applyAlignment="1">
      <alignment horizontal="center" vertical="center"/>
    </xf>
    <xf numFmtId="167" fontId="2" fillId="0" borderId="0" xfId="1" applyNumberFormat="1" applyFont="1"/>
    <xf numFmtId="15" fontId="2" fillId="0" borderId="0" xfId="1" applyNumberFormat="1" applyFont="1" applyAlignment="1">
      <alignment horizontal="center" vertical="center"/>
    </xf>
    <xf numFmtId="169" fontId="11" fillId="0" borderId="0" xfId="1" applyNumberFormat="1" applyFont="1" applyAlignment="1">
      <alignment vertical="center"/>
    </xf>
    <xf numFmtId="169" fontId="6" fillId="0" borderId="0" xfId="1" applyNumberFormat="1" applyFont="1" applyAlignment="1">
      <alignment vertical="center"/>
    </xf>
  </cellXfs>
  <cellStyles count="2">
    <cellStyle name="Normal" xfId="0" builtinId="0"/>
    <cellStyle name="Normal 2" xfId="1" xr:uid="{FDF90FBC-4FF7-4ABC-B479-BAE586F534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543174" cy="40957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06D34E7-547F-44D9-BC88-1FAA04D1071D}"/>
            </a:ext>
          </a:extLst>
        </xdr:cNvPr>
        <xdr:cNvSpPr txBox="1"/>
      </xdr:nvSpPr>
      <xdr:spPr>
        <a:xfrm>
          <a:off x="0" y="57150"/>
          <a:ext cx="2543174" cy="409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r>
            <a:rPr lang="en-US" sz="2400" b="1" i="0">
              <a:latin typeface="Arial Black" panose="020B0604020202020204" pitchFamily="34" charset="0"/>
              <a:cs typeface="Arial Black" panose="020B0604020202020204" pitchFamily="34" charset="0"/>
            </a:rPr>
            <a:t>I N V O I C 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4528-9070-4376-A34C-4C15689F6466}">
  <dimension ref="A1:I26"/>
  <sheetViews>
    <sheetView tabSelected="1" workbookViewId="0">
      <selection activeCell="H1" sqref="H1"/>
    </sheetView>
  </sheetViews>
  <sheetFormatPr defaultRowHeight="14.4" x14ac:dyDescent="0.3"/>
  <cols>
    <col min="1" max="1" width="4.44140625" customWidth="1"/>
    <col min="2" max="2" width="11" customWidth="1"/>
    <col min="3" max="3" width="12.88671875" customWidth="1"/>
    <col min="4" max="4" width="11" customWidth="1"/>
    <col min="5" max="5" width="11.109375" customWidth="1"/>
    <col min="6" max="6" width="12.6640625" customWidth="1"/>
    <col min="7" max="7" width="11.5546875" customWidth="1"/>
    <col min="8" max="8" width="10.6640625" customWidth="1"/>
    <col min="9" max="9" width="20.6640625" customWidth="1"/>
  </cols>
  <sheetData>
    <row r="1" spans="1:9" ht="14.4" customHeight="1" x14ac:dyDescent="0.3">
      <c r="A1" s="1"/>
      <c r="B1" s="2"/>
      <c r="C1" s="3"/>
      <c r="D1" s="3"/>
      <c r="E1" s="3"/>
      <c r="F1" s="3"/>
      <c r="G1" s="3"/>
      <c r="H1" s="4"/>
      <c r="I1" s="5" t="s">
        <v>0</v>
      </c>
    </row>
    <row r="2" spans="1:9" ht="15" thickBot="1" x14ac:dyDescent="0.35">
      <c r="A2" s="6"/>
      <c r="B2" s="6"/>
      <c r="C2" s="6"/>
      <c r="D2" s="6"/>
      <c r="E2" s="7"/>
      <c r="F2" s="7"/>
      <c r="G2" s="8" t="s">
        <v>1</v>
      </c>
      <c r="H2" s="9" t="s">
        <v>2</v>
      </c>
      <c r="I2" s="9"/>
    </row>
    <row r="3" spans="1:9" ht="15" thickTop="1" x14ac:dyDescent="0.3">
      <c r="A3" s="10" t="s">
        <v>3</v>
      </c>
      <c r="B3" s="10"/>
      <c r="C3" s="10"/>
      <c r="D3" s="10"/>
      <c r="E3" s="11"/>
      <c r="F3" s="11"/>
      <c r="G3" s="11"/>
      <c r="H3" s="9" t="s">
        <v>4</v>
      </c>
      <c r="I3" s="9"/>
    </row>
    <row r="4" spans="1:9" ht="15" thickBot="1" x14ac:dyDescent="0.35">
      <c r="A4" s="12"/>
      <c r="B4" s="13"/>
      <c r="C4" s="14"/>
      <c r="D4" s="14"/>
      <c r="E4" s="14"/>
      <c r="F4" s="14"/>
      <c r="G4" s="15"/>
      <c r="H4" s="16"/>
      <c r="I4" s="17"/>
    </row>
    <row r="5" spans="1:9" ht="15.6" thickTop="1" thickBot="1" x14ac:dyDescent="0.35">
      <c r="A5" s="18" t="s">
        <v>5</v>
      </c>
      <c r="B5" s="19" t="s">
        <v>6</v>
      </c>
      <c r="C5" s="20" t="s">
        <v>7</v>
      </c>
      <c r="D5" s="20" t="s">
        <v>8</v>
      </c>
      <c r="E5" s="20" t="s">
        <v>9</v>
      </c>
      <c r="F5" s="20" t="s">
        <v>10</v>
      </c>
      <c r="G5" s="20" t="s">
        <v>11</v>
      </c>
      <c r="H5" s="21" t="s">
        <v>12</v>
      </c>
      <c r="I5" s="22" t="s">
        <v>13</v>
      </c>
    </row>
    <row r="6" spans="1:9" ht="15" thickTop="1" x14ac:dyDescent="0.3">
      <c r="A6" s="23">
        <v>1</v>
      </c>
      <c r="B6" s="24">
        <v>46002</v>
      </c>
      <c r="C6" s="24" t="s">
        <v>14</v>
      </c>
      <c r="D6" s="24" t="s">
        <v>15</v>
      </c>
      <c r="E6" s="24" t="s">
        <v>16</v>
      </c>
      <c r="F6" s="24" t="s">
        <v>17</v>
      </c>
      <c r="G6" s="25">
        <v>34240</v>
      </c>
      <c r="H6" s="26">
        <v>80</v>
      </c>
      <c r="I6" s="27">
        <f t="shared" ref="I6:I9" si="0">G6*H6</f>
        <v>2739200</v>
      </c>
    </row>
    <row r="7" spans="1:9" x14ac:dyDescent="0.3">
      <c r="A7" s="23">
        <v>2</v>
      </c>
      <c r="B7" s="24">
        <v>46009</v>
      </c>
      <c r="C7" s="24" t="s">
        <v>18</v>
      </c>
      <c r="D7" s="24" t="s">
        <v>15</v>
      </c>
      <c r="E7" s="24" t="s">
        <v>16</v>
      </c>
      <c r="F7" s="24" t="s">
        <v>17</v>
      </c>
      <c r="G7" s="25">
        <v>34820</v>
      </c>
      <c r="H7" s="26">
        <v>80</v>
      </c>
      <c r="I7" s="27">
        <f t="shared" si="0"/>
        <v>2785600</v>
      </c>
    </row>
    <row r="8" spans="1:9" x14ac:dyDescent="0.3">
      <c r="A8" s="23">
        <v>3</v>
      </c>
      <c r="B8" s="24">
        <v>46009</v>
      </c>
      <c r="C8" s="24" t="s">
        <v>19</v>
      </c>
      <c r="D8" s="24" t="s">
        <v>15</v>
      </c>
      <c r="E8" s="24" t="s">
        <v>16</v>
      </c>
      <c r="F8" s="24" t="s">
        <v>17</v>
      </c>
      <c r="G8" s="25">
        <v>32880</v>
      </c>
      <c r="H8" s="26">
        <v>80</v>
      </c>
      <c r="I8" s="27">
        <f t="shared" si="0"/>
        <v>2630400</v>
      </c>
    </row>
    <row r="9" spans="1:9" x14ac:dyDescent="0.3">
      <c r="A9" s="23">
        <v>4</v>
      </c>
      <c r="B9" s="24">
        <v>46013</v>
      </c>
      <c r="C9" s="24" t="s">
        <v>20</v>
      </c>
      <c r="D9" s="24" t="s">
        <v>15</v>
      </c>
      <c r="E9" s="24" t="s">
        <v>16</v>
      </c>
      <c r="F9" s="24" t="s">
        <v>17</v>
      </c>
      <c r="G9" s="25">
        <v>32080</v>
      </c>
      <c r="H9" s="26">
        <v>80</v>
      </c>
      <c r="I9" s="27">
        <f t="shared" si="0"/>
        <v>2566400</v>
      </c>
    </row>
    <row r="10" spans="1:9" x14ac:dyDescent="0.3">
      <c r="A10" s="23"/>
      <c r="B10" s="24"/>
      <c r="C10" s="24"/>
      <c r="D10" s="24"/>
      <c r="E10" s="24"/>
      <c r="F10" s="24"/>
      <c r="G10" s="25"/>
      <c r="H10" s="26"/>
      <c r="I10" s="27"/>
    </row>
    <row r="11" spans="1:9" x14ac:dyDescent="0.3">
      <c r="A11" s="23"/>
      <c r="B11" s="24"/>
      <c r="C11" s="24"/>
      <c r="D11" s="24"/>
      <c r="E11" s="24"/>
      <c r="F11" s="24"/>
      <c r="G11" s="25"/>
      <c r="H11" s="26"/>
      <c r="I11" s="27"/>
    </row>
    <row r="12" spans="1:9" x14ac:dyDescent="0.3">
      <c r="A12" s="23"/>
      <c r="B12" s="24"/>
      <c r="C12" s="24"/>
      <c r="D12" s="24"/>
      <c r="E12" s="24"/>
      <c r="F12" s="24"/>
      <c r="G12" s="25"/>
      <c r="H12" s="26"/>
      <c r="I12" s="27"/>
    </row>
    <row r="13" spans="1:9" x14ac:dyDescent="0.3">
      <c r="A13" s="23"/>
      <c r="B13" s="24"/>
      <c r="C13" s="24"/>
      <c r="D13" s="24"/>
      <c r="E13" s="24"/>
      <c r="F13" s="24"/>
      <c r="G13" s="25"/>
      <c r="H13" s="26"/>
      <c r="I13" s="27"/>
    </row>
    <row r="14" spans="1:9" x14ac:dyDescent="0.3">
      <c r="A14" s="23"/>
      <c r="B14" s="24"/>
      <c r="C14" s="24"/>
      <c r="D14" s="24"/>
      <c r="E14" s="24"/>
      <c r="F14" s="24"/>
      <c r="G14" s="25"/>
      <c r="H14" s="26"/>
      <c r="I14" s="27"/>
    </row>
    <row r="15" spans="1:9" x14ac:dyDescent="0.3">
      <c r="A15" s="23"/>
      <c r="B15" s="24"/>
      <c r="C15" s="24"/>
      <c r="D15" s="24"/>
      <c r="E15" s="24"/>
      <c r="F15" s="24"/>
      <c r="G15" s="25"/>
      <c r="H15" s="26"/>
      <c r="I15" s="27"/>
    </row>
    <row r="16" spans="1:9" x14ac:dyDescent="0.3">
      <c r="A16" s="23"/>
      <c r="B16" s="24"/>
      <c r="C16" s="24"/>
      <c r="D16" s="24"/>
      <c r="E16" s="24"/>
      <c r="F16" s="24"/>
      <c r="G16" s="25"/>
      <c r="H16" s="26"/>
      <c r="I16" s="27"/>
    </row>
    <row r="17" spans="1:9" x14ac:dyDescent="0.3">
      <c r="A17" s="23"/>
      <c r="B17" s="24"/>
      <c r="C17" s="24"/>
      <c r="D17" s="24"/>
      <c r="E17" s="24"/>
      <c r="F17" s="24"/>
      <c r="G17" s="25"/>
      <c r="H17" s="26"/>
      <c r="I17" s="27"/>
    </row>
    <row r="18" spans="1:9" x14ac:dyDescent="0.3">
      <c r="A18" s="23"/>
      <c r="B18" s="24"/>
      <c r="C18" s="24"/>
      <c r="D18" s="24"/>
      <c r="E18" s="24"/>
      <c r="F18" s="24"/>
      <c r="G18" s="25"/>
      <c r="H18" s="26"/>
      <c r="I18" s="27"/>
    </row>
    <row r="19" spans="1:9" x14ac:dyDescent="0.3">
      <c r="A19" s="23"/>
      <c r="B19" s="24"/>
      <c r="C19" s="24"/>
      <c r="D19" s="24"/>
      <c r="E19" s="24"/>
      <c r="F19" s="24"/>
      <c r="G19" s="25"/>
      <c r="H19" s="26"/>
      <c r="I19" s="27"/>
    </row>
    <row r="20" spans="1:9" x14ac:dyDescent="0.3">
      <c r="A20" s="23"/>
      <c r="B20" s="24"/>
      <c r="C20" s="24"/>
      <c r="D20" s="24"/>
      <c r="E20" s="24"/>
      <c r="F20" s="24"/>
      <c r="G20" s="25"/>
      <c r="H20" s="26"/>
      <c r="I20" s="27"/>
    </row>
    <row r="21" spans="1:9" x14ac:dyDescent="0.3">
      <c r="A21" s="28"/>
      <c r="B21" s="29" t="s">
        <v>21</v>
      </c>
      <c r="C21" s="29"/>
      <c r="D21" s="28"/>
      <c r="E21" s="28"/>
      <c r="F21" s="28"/>
      <c r="G21" s="30"/>
      <c r="H21" s="31" t="s">
        <v>22</v>
      </c>
      <c r="I21" s="32">
        <f>SUM(I6:I20)</f>
        <v>10721600</v>
      </c>
    </row>
    <row r="22" spans="1:9" x14ac:dyDescent="0.3">
      <c r="A22" s="33"/>
      <c r="B22" s="33"/>
      <c r="C22" s="34"/>
      <c r="D22" s="34"/>
      <c r="E22" s="34"/>
      <c r="F22" s="34"/>
      <c r="G22" s="35"/>
      <c r="H22" s="36" t="s">
        <v>23</v>
      </c>
      <c r="I22" s="37">
        <f>ROUNDDOWN(I21*0.02,0)</f>
        <v>214432</v>
      </c>
    </row>
    <row r="23" spans="1:9" x14ac:dyDescent="0.3">
      <c r="A23" s="34"/>
      <c r="B23" s="34"/>
      <c r="C23" s="34"/>
      <c r="D23" s="34"/>
      <c r="E23" s="34"/>
      <c r="F23" s="34"/>
      <c r="G23" s="35"/>
      <c r="H23" s="36" t="s">
        <v>24</v>
      </c>
      <c r="I23" s="32">
        <f>I21-I22</f>
        <v>10507168</v>
      </c>
    </row>
    <row r="24" spans="1:9" ht="15" thickBot="1" x14ac:dyDescent="0.35">
      <c r="A24" s="38"/>
      <c r="B24" s="39"/>
      <c r="C24" s="39"/>
      <c r="D24" s="40"/>
      <c r="E24" s="40"/>
      <c r="F24" s="40"/>
      <c r="G24" s="35"/>
      <c r="H24" s="41"/>
      <c r="I24" s="42"/>
    </row>
    <row r="25" spans="1:9" ht="15" thickBot="1" x14ac:dyDescent="0.35">
      <c r="A25" s="35"/>
      <c r="B25" s="43"/>
      <c r="C25" s="43"/>
      <c r="D25" s="40"/>
      <c r="E25" s="44"/>
      <c r="F25" s="45" t="s">
        <v>25</v>
      </c>
      <c r="G25" s="46"/>
      <c r="H25" s="46"/>
      <c r="I25" s="47"/>
    </row>
    <row r="26" spans="1:9" x14ac:dyDescent="0.3">
      <c r="A26" s="48"/>
      <c r="B26" s="49" t="s">
        <v>26</v>
      </c>
      <c r="C26" s="49"/>
      <c r="D26" s="50"/>
      <c r="E26" s="51"/>
      <c r="F26" s="51"/>
      <c r="G26" s="51"/>
      <c r="H26" s="51"/>
      <c r="I26" s="51"/>
    </row>
  </sheetData>
  <mergeCells count="8">
    <mergeCell ref="B26:C26"/>
    <mergeCell ref="H2:I2"/>
    <mergeCell ref="A3:D3"/>
    <mergeCell ref="H3:I3"/>
    <mergeCell ref="B21:C21"/>
    <mergeCell ref="B24:C24"/>
    <mergeCell ref="B25:C25"/>
    <mergeCell ref="F25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</dc:creator>
  <cp:lastModifiedBy>Yass</cp:lastModifiedBy>
  <dcterms:created xsi:type="dcterms:W3CDTF">2026-03-28T06:54:41Z</dcterms:created>
  <dcterms:modified xsi:type="dcterms:W3CDTF">2026-03-28T06:56:24Z</dcterms:modified>
</cp:coreProperties>
</file>